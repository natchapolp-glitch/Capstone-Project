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_Log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<sst xmlns="http://schemas.openxmlformats.org/spreadsheetml/2006/main" count="60" uniqueCount="56">
  <si>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Pilot 1 — OCR Accuracy Data Collection Instrument</t>
  </si>
  <si>
    <t xml:space="preserve">วิธีใช้ไฟล์นี้</t>
  </si>
  <si>
    <t xml:space="preserve">1. ถ่ายภาพใบเสร็จ/ฉลากด้วยกล้อง IP Camera ตามสถาปัตยกรรมจริง เก็บไฟล์ภาพไว้ในโฟลเดอร์ image_filename ที่ระบุ</t>
  </si>
  <si>
    <t xml:space="preserve">2. พิมพ์ transcript ที่ถูกต้อง 100% ด้วยมือ (ground truth) ลงในไฟล์ .txt แยกต่อเอกสาร แล้วใส่ชื่อไฟล์ในคอลัมน์ GT_transcript_file</t>
  </si>
  <si>
    <t xml:space="preserve">3. รันภาพผ่าน PaddleOCR และ EasyOCR แยกกัน บันทึกผลลัพธ์เป็นไฟล์ .txt เช่นกัน ใส่ชื่อไฟล์ในคอลัมน์ที่เกี่ยวข้อง</t>
  </si>
  <si>
    <t xml:space="preserve">4. ใช้สคริปต์ cer_wer_calculator.py (แนบมาด้วย) คำนวณ CER/WER อัตโนมัติ แล้ววางผลลัพธ์ (ตัวเลข) ลงในเซลล์สีเหลืองของชีท Data_Log</t>
  </si>
  <si>
    <t xml:space="preserve">5. ชีท Summary จะคำนวณค่าเฉลี่ย/สรุปให้อัตโนมัติด้วยสูตร (ไม่ต้องแก้อะไรในชีทนี้)</t>
  </si>
  <si>
    <t xml:space="preserve">คำอธิบายสี</t>
  </si>
  <si>
    <t xml:space="preserve">[เหลือง] = ช่องที่ต้องกรอกข้อมูล/ผลลัพธ์เอง</t>
  </si>
  <si>
    <t xml:space="preserve">[เขียวอ่อน] = แถวตัวอย่าง (ลบทิ้งได้เมื่อเริ่มกรอกข้อมูลจริง)</t>
  </si>
  <si>
    <t xml:space="preserve">คำนิยาม field-level accuracy</t>
  </si>
  <si>
    <t xml:space="preserve">ให้ 1 ถ้า field นั้น (ชื่อสินค้า/ราคา/วันที่/ยอดรวม) อ่านถูกต้อง 100% เทียบ ground truth, ให้ 0 ถ้าผิดแม้แต่ตัวอักษรเดียวในตัวเลข/วันที่ หรือความหมายเปลี่ยนในข้อความ</t>
  </si>
  <si>
    <t xml:space="preserve">Doc_ID</t>
  </si>
  <si>
    <t xml:space="preserve">Doc_Type (Receipt/Label)</t>
  </si>
  <si>
    <t xml:space="preserve">Printer_Type</t>
  </si>
  <si>
    <t xml:space="preserve">Condition (New/Crumpled/Faded)</t>
  </si>
  <si>
    <t xml:space="preserve">Lighting (Natural/LED/Low)</t>
  </si>
  <si>
    <t xml:space="preserve">Image_Filename</t>
  </si>
  <si>
    <t xml:space="preserve">GT_Transcript_File</t>
  </si>
  <si>
    <t xml:space="preserve">PaddleOCR_Output_File</t>
  </si>
  <si>
    <t xml:space="preserve">EasyOCR_Output_File</t>
  </si>
  <si>
    <t xml:space="preserve">PaddleOCR_CER</t>
  </si>
  <si>
    <t xml:space="preserve">PaddleOCR_WER</t>
  </si>
  <si>
    <t xml:space="preserve">EasyOCR_CER</t>
  </si>
  <si>
    <t xml:space="preserve">EasyOCR_WER</t>
  </si>
  <si>
    <t xml:space="preserve">PaddleOCR_Field_Acc (0-1)</t>
  </si>
  <si>
    <t xml:space="preserve">EasyOCR_Field_Acc (0-1)</t>
  </si>
  <si>
    <t xml:space="preserve">Notes</t>
  </si>
  <si>
    <t xml:space="preserve">R001</t>
  </si>
  <si>
    <t xml:space="preserve">Receipt</t>
  </si>
  <si>
    <t xml:space="preserve">Thermal dot-matrix</t>
  </si>
  <si>
    <t xml:space="preserve">Crumpled</t>
  </si>
  <si>
    <t xml:space="preserve">LED</t>
  </si>
  <si>
    <t xml:space="preserve">receipts/r001.jpg</t>
  </si>
  <si>
    <t xml:space="preserve">gt/r001.txt</t>
  </si>
  <si>
    <t xml:space="preserve">ocr_paddle/r001.txt</t>
  </si>
  <si>
    <t xml:space="preserve">ocr_easy/r001.txt</t>
  </si>
  <si>
    <t xml:space="preserve">ตัวอย่างแถว — ลบทิ้งเมื่อเริ่มกรอกจริง</t>
  </si>
  <si>
    <t xml:space="preserve">Pilot 1 Summary — OCR Accuracy</t>
  </si>
  <si>
    <t xml:space="preserve">Metric</t>
  </si>
  <si>
    <t xml:space="preserve">PaddleOCR</t>
  </si>
  <si>
    <t xml:space="preserve">EasyOCR</t>
  </si>
  <si>
    <t xml:space="preserve">Mean CER</t>
  </si>
  <si>
    <t xml:space="preserve">Mean WER</t>
  </si>
  <si>
    <t xml:space="preserve">Mean Field-level Accuracy</t>
  </si>
  <si>
    <t xml:space="preserve">N (documents with results)</t>
  </si>
  <si>
    <t xml:space="preserve">By Doc_Type (Receipt vs Label) — Mean CER</t>
  </si>
  <si>
    <t xml:space="preserve">Doc_Type</t>
  </si>
  <si>
    <t xml:space="preserve">PaddleOCR CER</t>
  </si>
  <si>
    <t xml:space="preserve">EasyOCR CER</t>
  </si>
  <si>
    <t xml:space="preserve">Label</t>
  </si>
  <si>
    <t xml:space="preserve">By Lighting Condition — Mean CER</t>
  </si>
  <si>
    <t xml:space="preserve">Lighting</t>
  </si>
  <si>
    <t xml:space="preserve">Natural</t>
  </si>
  <si>
    <t xml:space="preserve">Low</t>
  </si>
  <si>
    <t xml:space="preserve">หมายเหตุ: สูตรทั้งหมดคำนวณจากช่วง Data_Log แถว 3-152 (150 เอกสาร) — ถ้าข้อมูลจริงน้อย/มากกว่านี้ ให้ปรับช่วงในสูตรตาม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</si>
</sst>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 t="s">
        <v>5</v>
      </c>
    </row>
    <row r="8" customFormat="false" ht="15" hidden="false" customHeight="true" outlineLevel="0" collapsed="false">
      <c r="A8" s="4" t="s">
        <v>6</v>
      </c>
    </row>
    <row r="9" customFormat="false" ht="15" hidden="false" customHeight="true" outlineLevel="0" collapsed="false">
      <c r="A9" s="4"/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/>
    </row>
    <row r="14" customFormat="false" ht="15" hidden="false" customHeight="true" outlineLevel="0" collapsed="false">
      <c r="A14" s="3" t="s">
        <v>10</v>
      </c>
    </row>
    <row r="15" customFormat="false" ht="23.25" hidden="false" customHeight="true" outlineLevel="0" collapsed="false">
      <c r="A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1" width="20"/>
  </cols>
  <sheetData>
    <row r="1" customFormat="false" ht="31.5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</row>
    <row r="2" customFormat="false" ht="15" hidden="false" customHeight="true" outlineLevel="0" collapsed="false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n">
        <v>0.032</v>
      </c>
      <c r="K2" s="6" t="n">
        <v>0.081</v>
      </c>
      <c r="L2" s="6" t="n">
        <v>0.045</v>
      </c>
      <c r="M2" s="6" t="n">
        <v>0.093</v>
      </c>
      <c r="N2" s="6" t="n">
        <v>0.9</v>
      </c>
      <c r="O2" s="6" t="n">
        <v>0.8</v>
      </c>
      <c r="P2" s="6" t="s">
        <v>37</v>
      </c>
    </row>
    <row r="3" customFormat="false" ht="1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8"/>
      <c r="K3" s="8"/>
      <c r="L3" s="8"/>
      <c r="M3" s="8"/>
      <c r="N3" s="8"/>
      <c r="O3" s="8"/>
      <c r="P3" s="7"/>
    </row>
    <row r="4" customFormat="false" ht="1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  <c r="P4" s="7"/>
    </row>
    <row r="5" customFormat="false" ht="1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8"/>
      <c r="K5" s="8"/>
      <c r="L5" s="8"/>
      <c r="M5" s="8"/>
      <c r="N5" s="8"/>
      <c r="O5" s="8"/>
      <c r="P5" s="7"/>
    </row>
    <row r="6" customFormat="false" ht="1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8"/>
      <c r="K6" s="8"/>
      <c r="L6" s="8"/>
      <c r="M6" s="8"/>
      <c r="N6" s="8"/>
      <c r="O6" s="8"/>
      <c r="P6" s="7"/>
    </row>
    <row r="7" customFormat="false" ht="1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8"/>
      <c r="K7" s="8"/>
      <c r="L7" s="8"/>
      <c r="M7" s="8"/>
      <c r="N7" s="8"/>
      <c r="O7" s="8"/>
      <c r="P7" s="7"/>
    </row>
    <row r="8" customFormat="false" ht="1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8"/>
      <c r="K8" s="8"/>
      <c r="L8" s="8"/>
      <c r="M8" s="8"/>
      <c r="N8" s="8"/>
      <c r="O8" s="8"/>
      <c r="P8" s="7"/>
    </row>
    <row r="9" customFormat="false" ht="1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8"/>
      <c r="K9" s="8"/>
      <c r="L9" s="8"/>
      <c r="M9" s="8"/>
      <c r="N9" s="8"/>
      <c r="O9" s="8"/>
      <c r="P9" s="7"/>
    </row>
    <row r="10" customFormat="false" ht="1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8"/>
      <c r="K10" s="8"/>
      <c r="L10" s="8"/>
      <c r="M10" s="8"/>
      <c r="N10" s="8"/>
      <c r="O10" s="8"/>
      <c r="P10" s="7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8"/>
      <c r="K11" s="8"/>
      <c r="L11" s="8"/>
      <c r="M11" s="8"/>
      <c r="N11" s="8"/>
      <c r="O11" s="8"/>
      <c r="P11" s="7"/>
    </row>
    <row r="12" customFormat="false" ht="1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8"/>
      <c r="K12" s="8"/>
      <c r="L12" s="8"/>
      <c r="M12" s="8"/>
      <c r="N12" s="8"/>
      <c r="O12" s="8"/>
      <c r="P12" s="7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8"/>
      <c r="K13" s="8"/>
      <c r="L13" s="8"/>
      <c r="M13" s="8"/>
      <c r="N13" s="8"/>
      <c r="O13" s="8"/>
      <c r="P13" s="7"/>
    </row>
    <row r="14" customFormat="false" ht="1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8"/>
      <c r="K14" s="8"/>
      <c r="L14" s="8"/>
      <c r="M14" s="8"/>
      <c r="N14" s="8"/>
      <c r="O14" s="8"/>
      <c r="P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8"/>
      <c r="K15" s="8"/>
      <c r="L15" s="8"/>
      <c r="M15" s="8"/>
      <c r="N15" s="8"/>
      <c r="O15" s="8"/>
      <c r="P15" s="7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8"/>
      <c r="K16" s="8"/>
      <c r="L16" s="8"/>
      <c r="M16" s="8"/>
      <c r="N16" s="8"/>
      <c r="O16" s="8"/>
      <c r="P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8"/>
      <c r="K17" s="8"/>
      <c r="L17" s="8"/>
      <c r="M17" s="8"/>
      <c r="N17" s="8"/>
      <c r="O17" s="8"/>
      <c r="P17" s="7"/>
    </row>
    <row r="18" customFormat="false" ht="1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8"/>
      <c r="K18" s="8"/>
      <c r="L18" s="8"/>
      <c r="M18" s="8"/>
      <c r="N18" s="8"/>
      <c r="O18" s="8"/>
      <c r="P18" s="7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8"/>
      <c r="K19" s="8"/>
      <c r="L19" s="8"/>
      <c r="M19" s="8"/>
      <c r="N19" s="8"/>
      <c r="O19" s="8"/>
      <c r="P19" s="7"/>
    </row>
    <row r="20" customFormat="false" ht="1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8"/>
      <c r="K20" s="8"/>
      <c r="L20" s="8"/>
      <c r="M20" s="8"/>
      <c r="N20" s="8"/>
      <c r="O20" s="8"/>
      <c r="P20" s="7"/>
    </row>
    <row r="21" customFormat="false" ht="1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8"/>
      <c r="K21" s="8"/>
      <c r="L21" s="8"/>
      <c r="M21" s="8"/>
      <c r="N21" s="8"/>
      <c r="O21" s="8"/>
      <c r="P21" s="7"/>
    </row>
    <row r="22" customFormat="false" ht="1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8"/>
      <c r="K22" s="8"/>
      <c r="L22" s="8"/>
      <c r="M22" s="8"/>
      <c r="N22" s="8"/>
      <c r="O22" s="8"/>
      <c r="P22" s="7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8"/>
      <c r="K23" s="8"/>
      <c r="L23" s="8"/>
      <c r="M23" s="8"/>
      <c r="N23" s="8"/>
      <c r="O23" s="8"/>
      <c r="P23" s="7"/>
    </row>
    <row r="24" customFormat="false" ht="1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8"/>
      <c r="K24" s="8"/>
      <c r="L24" s="8"/>
      <c r="M24" s="8"/>
      <c r="N24" s="8"/>
      <c r="O24" s="8"/>
      <c r="P24" s="7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8"/>
      <c r="K25" s="8"/>
      <c r="L25" s="8"/>
      <c r="M25" s="8"/>
      <c r="N25" s="8"/>
      <c r="O25" s="8"/>
      <c r="P25" s="7"/>
    </row>
    <row r="26" customFormat="false" ht="1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8"/>
      <c r="K26" s="8"/>
      <c r="L26" s="8"/>
      <c r="M26" s="8"/>
      <c r="N26" s="8"/>
      <c r="O26" s="8"/>
      <c r="P26" s="7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8"/>
      <c r="K27" s="8"/>
      <c r="L27" s="8"/>
      <c r="M27" s="8"/>
      <c r="N27" s="8"/>
      <c r="O27" s="8"/>
      <c r="P27" s="7"/>
    </row>
    <row r="28" customFormat="false" ht="1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8"/>
      <c r="K28" s="8"/>
      <c r="L28" s="8"/>
      <c r="M28" s="8"/>
      <c r="N28" s="8"/>
      <c r="O28" s="8"/>
      <c r="P28" s="7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8"/>
      <c r="K29" s="8"/>
      <c r="L29" s="8"/>
      <c r="M29" s="8"/>
      <c r="N29" s="8"/>
      <c r="O29" s="8"/>
      <c r="P29" s="7"/>
    </row>
    <row r="30" customFormat="false" ht="1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8"/>
      <c r="K30" s="8"/>
      <c r="L30" s="8"/>
      <c r="M30" s="8"/>
      <c r="N30" s="8"/>
      <c r="O30" s="8"/>
      <c r="P30" s="7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8"/>
      <c r="K31" s="8"/>
      <c r="L31" s="8"/>
      <c r="M31" s="8"/>
      <c r="N31" s="8"/>
      <c r="O31" s="8"/>
      <c r="P31" s="7"/>
    </row>
    <row r="32" customFormat="false" ht="1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8"/>
      <c r="K32" s="8"/>
      <c r="L32" s="8"/>
      <c r="M32" s="8"/>
      <c r="N32" s="8"/>
      <c r="O32" s="8"/>
      <c r="P32" s="7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8"/>
      <c r="K33" s="8"/>
      <c r="L33" s="8"/>
      <c r="M33" s="8"/>
      <c r="N33" s="8"/>
      <c r="O33" s="8"/>
      <c r="P33" s="7"/>
    </row>
    <row r="34" customFormat="false" ht="1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8"/>
      <c r="K34" s="8"/>
      <c r="L34" s="8"/>
      <c r="M34" s="8"/>
      <c r="N34" s="8"/>
      <c r="O34" s="8"/>
      <c r="P34" s="7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8"/>
      <c r="K35" s="8"/>
      <c r="L35" s="8"/>
      <c r="M35" s="8"/>
      <c r="N35" s="8"/>
      <c r="O35" s="8"/>
      <c r="P35" s="7"/>
    </row>
    <row r="36" customFormat="false" ht="1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8"/>
      <c r="K36" s="8"/>
      <c r="L36" s="8"/>
      <c r="M36" s="8"/>
      <c r="N36" s="8"/>
      <c r="O36" s="8"/>
      <c r="P36" s="7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8"/>
      <c r="K37" s="8"/>
      <c r="L37" s="8"/>
      <c r="M37" s="8"/>
      <c r="N37" s="8"/>
      <c r="O37" s="8"/>
      <c r="P37" s="7"/>
    </row>
    <row r="38" customFormat="false" ht="1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8"/>
      <c r="K38" s="8"/>
      <c r="L38" s="8"/>
      <c r="M38" s="8"/>
      <c r="N38" s="8"/>
      <c r="O38" s="8"/>
      <c r="P38" s="7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8"/>
      <c r="K39" s="8"/>
      <c r="L39" s="8"/>
      <c r="M39" s="8"/>
      <c r="N39" s="8"/>
      <c r="O39" s="8"/>
      <c r="P39" s="7"/>
    </row>
    <row r="40" customFormat="false" ht="1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8"/>
      <c r="K40" s="8"/>
      <c r="L40" s="8"/>
      <c r="M40" s="8"/>
      <c r="N40" s="8"/>
      <c r="O40" s="8"/>
      <c r="P40" s="7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8"/>
      <c r="K41" s="8"/>
      <c r="L41" s="8"/>
      <c r="M41" s="8"/>
      <c r="N41" s="8"/>
      <c r="O41" s="8"/>
      <c r="P41" s="7"/>
    </row>
    <row r="42" customFormat="false" ht="1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8"/>
      <c r="K42" s="8"/>
      <c r="L42" s="8"/>
      <c r="M42" s="8"/>
      <c r="N42" s="8"/>
      <c r="O42" s="8"/>
      <c r="P42" s="7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8"/>
      <c r="K43" s="8"/>
      <c r="L43" s="8"/>
      <c r="M43" s="8"/>
      <c r="N43" s="8"/>
      <c r="O43" s="8"/>
      <c r="P43" s="7"/>
    </row>
    <row r="44" customFormat="false" ht="1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8"/>
      <c r="K44" s="8"/>
      <c r="L44" s="8"/>
      <c r="M44" s="8"/>
      <c r="N44" s="8"/>
      <c r="O44" s="8"/>
      <c r="P44" s="7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8"/>
      <c r="K45" s="8"/>
      <c r="L45" s="8"/>
      <c r="M45" s="8"/>
      <c r="N45" s="8"/>
      <c r="O45" s="8"/>
      <c r="P45" s="7"/>
    </row>
    <row r="46" customFormat="false" ht="1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8"/>
      <c r="K46" s="8"/>
      <c r="L46" s="8"/>
      <c r="M46" s="8"/>
      <c r="N46" s="8"/>
      <c r="O46" s="8"/>
      <c r="P46" s="7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8"/>
      <c r="K47" s="8"/>
      <c r="L47" s="8"/>
      <c r="M47" s="8"/>
      <c r="N47" s="8"/>
      <c r="O47" s="8"/>
      <c r="P47" s="7"/>
    </row>
    <row r="48" customFormat="false" ht="1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8"/>
      <c r="K48" s="8"/>
      <c r="L48" s="8"/>
      <c r="M48" s="8"/>
      <c r="N48" s="8"/>
      <c r="O48" s="8"/>
      <c r="P48" s="7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8"/>
      <c r="K49" s="8"/>
      <c r="L49" s="8"/>
      <c r="M49" s="8"/>
      <c r="N49" s="8"/>
      <c r="O49" s="8"/>
      <c r="P49" s="7"/>
    </row>
    <row r="50" customFormat="false" ht="1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8"/>
      <c r="K50" s="8"/>
      <c r="L50" s="8"/>
      <c r="M50" s="8"/>
      <c r="N50" s="8"/>
      <c r="O50" s="8"/>
      <c r="P50" s="7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8"/>
      <c r="K51" s="8"/>
      <c r="L51" s="8"/>
      <c r="M51" s="8"/>
      <c r="N51" s="8"/>
      <c r="O51" s="8"/>
      <c r="P51" s="7"/>
    </row>
    <row r="52" customFormat="false" ht="1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8"/>
      <c r="K52" s="8"/>
      <c r="L52" s="8"/>
      <c r="M52" s="8"/>
      <c r="N52" s="8"/>
      <c r="O52" s="8"/>
      <c r="P52" s="7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8"/>
      <c r="K53" s="8"/>
      <c r="L53" s="8"/>
      <c r="M53" s="8"/>
      <c r="N53" s="8"/>
      <c r="O53" s="8"/>
      <c r="P53" s="7"/>
    </row>
    <row r="54" customFormat="false" ht="1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8"/>
      <c r="K54" s="8"/>
      <c r="L54" s="8"/>
      <c r="M54" s="8"/>
      <c r="N54" s="8"/>
      <c r="O54" s="8"/>
      <c r="P54" s="7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8"/>
      <c r="K55" s="8"/>
      <c r="L55" s="8"/>
      <c r="M55" s="8"/>
      <c r="N55" s="8"/>
      <c r="O55" s="8"/>
      <c r="P55" s="7"/>
    </row>
    <row r="56" customFormat="false" ht="1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8"/>
      <c r="K56" s="8"/>
      <c r="L56" s="8"/>
      <c r="M56" s="8"/>
      <c r="N56" s="8"/>
      <c r="O56" s="8"/>
      <c r="P56" s="7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8"/>
      <c r="K57" s="8"/>
      <c r="L57" s="8"/>
      <c r="M57" s="8"/>
      <c r="N57" s="8"/>
      <c r="O57" s="8"/>
      <c r="P57" s="7"/>
    </row>
    <row r="58" customFormat="false" ht="1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8"/>
      <c r="K58" s="8"/>
      <c r="L58" s="8"/>
      <c r="M58" s="8"/>
      <c r="N58" s="8"/>
      <c r="O58" s="8"/>
      <c r="P58" s="7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8"/>
      <c r="K59" s="8"/>
      <c r="L59" s="8"/>
      <c r="M59" s="8"/>
      <c r="N59" s="8"/>
      <c r="O59" s="8"/>
      <c r="P59" s="7"/>
    </row>
    <row r="60" customFormat="false" ht="1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8"/>
      <c r="K60" s="8"/>
      <c r="L60" s="8"/>
      <c r="M60" s="8"/>
      <c r="N60" s="8"/>
      <c r="O60" s="8"/>
      <c r="P60" s="7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8"/>
      <c r="K61" s="8"/>
      <c r="L61" s="8"/>
      <c r="M61" s="8"/>
      <c r="N61" s="8"/>
      <c r="O61" s="8"/>
      <c r="P61" s="7"/>
    </row>
    <row r="62" customFormat="false" ht="1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8"/>
      <c r="K62" s="8"/>
      <c r="L62" s="8"/>
      <c r="M62" s="8"/>
      <c r="N62" s="8"/>
      <c r="O62" s="8"/>
      <c r="P62" s="7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8"/>
      <c r="K63" s="8"/>
      <c r="L63" s="8"/>
      <c r="M63" s="8"/>
      <c r="N63" s="8"/>
      <c r="O63" s="8"/>
      <c r="P63" s="7"/>
    </row>
    <row r="64" customFormat="false" ht="1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8"/>
      <c r="K64" s="8"/>
      <c r="L64" s="8"/>
      <c r="M64" s="8"/>
      <c r="N64" s="8"/>
      <c r="O64" s="8"/>
      <c r="P64" s="7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8"/>
      <c r="K65" s="8"/>
      <c r="L65" s="8"/>
      <c r="M65" s="8"/>
      <c r="N65" s="8"/>
      <c r="O65" s="8"/>
      <c r="P65" s="7"/>
    </row>
    <row r="66" customFormat="false" ht="1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8"/>
      <c r="K66" s="8"/>
      <c r="L66" s="8"/>
      <c r="M66" s="8"/>
      <c r="N66" s="8"/>
      <c r="O66" s="8"/>
      <c r="P66" s="7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8"/>
      <c r="K67" s="8"/>
      <c r="L67" s="8"/>
      <c r="M67" s="8"/>
      <c r="N67" s="8"/>
      <c r="O67" s="8"/>
      <c r="P67" s="7"/>
    </row>
    <row r="68" customFormat="false" ht="1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8"/>
      <c r="K68" s="8"/>
      <c r="L68" s="8"/>
      <c r="M68" s="8"/>
      <c r="N68" s="8"/>
      <c r="O68" s="8"/>
      <c r="P68" s="7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8"/>
      <c r="K69" s="8"/>
      <c r="L69" s="8"/>
      <c r="M69" s="8"/>
      <c r="N69" s="8"/>
      <c r="O69" s="8"/>
      <c r="P69" s="7"/>
    </row>
    <row r="70" customFormat="false" ht="1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8"/>
      <c r="K70" s="8"/>
      <c r="L70" s="8"/>
      <c r="M70" s="8"/>
      <c r="N70" s="8"/>
      <c r="O70" s="8"/>
      <c r="P70" s="7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8"/>
      <c r="K71" s="8"/>
      <c r="L71" s="8"/>
      <c r="M71" s="8"/>
      <c r="N71" s="8"/>
      <c r="O71" s="8"/>
      <c r="P71" s="7"/>
    </row>
    <row r="72" customFormat="false" ht="1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8"/>
      <c r="K72" s="8"/>
      <c r="L72" s="8"/>
      <c r="M72" s="8"/>
      <c r="N72" s="8"/>
      <c r="O72" s="8"/>
      <c r="P72" s="7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8"/>
      <c r="K73" s="8"/>
      <c r="L73" s="8"/>
      <c r="M73" s="8"/>
      <c r="N73" s="8"/>
      <c r="O73" s="8"/>
      <c r="P73" s="7"/>
    </row>
    <row r="74" customFormat="false" ht="1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8"/>
      <c r="K74" s="8"/>
      <c r="L74" s="8"/>
      <c r="M74" s="8"/>
      <c r="N74" s="8"/>
      <c r="O74" s="8"/>
      <c r="P74" s="7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8"/>
      <c r="K75" s="8"/>
      <c r="L75" s="8"/>
      <c r="M75" s="8"/>
      <c r="N75" s="8"/>
      <c r="O75" s="8"/>
      <c r="P75" s="7"/>
    </row>
    <row r="76" customFormat="false" ht="1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8"/>
      <c r="K76" s="8"/>
      <c r="L76" s="8"/>
      <c r="M76" s="8"/>
      <c r="N76" s="8"/>
      <c r="O76" s="8"/>
      <c r="P76" s="7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8"/>
      <c r="K77" s="8"/>
      <c r="L77" s="8"/>
      <c r="M77" s="8"/>
      <c r="N77" s="8"/>
      <c r="O77" s="8"/>
      <c r="P77" s="7"/>
    </row>
    <row r="78" customFormat="false" ht="1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8"/>
      <c r="K78" s="8"/>
      <c r="L78" s="8"/>
      <c r="M78" s="8"/>
      <c r="N78" s="8"/>
      <c r="O78" s="8"/>
      <c r="P78" s="7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8"/>
      <c r="K79" s="8"/>
      <c r="L79" s="8"/>
      <c r="M79" s="8"/>
      <c r="N79" s="8"/>
      <c r="O79" s="8"/>
      <c r="P79" s="7"/>
    </row>
    <row r="80" customFormat="false" ht="1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8"/>
      <c r="K80" s="8"/>
      <c r="L80" s="8"/>
      <c r="M80" s="8"/>
      <c r="N80" s="8"/>
      <c r="O80" s="8"/>
      <c r="P80" s="7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8"/>
      <c r="K81" s="8"/>
      <c r="L81" s="8"/>
      <c r="M81" s="8"/>
      <c r="N81" s="8"/>
      <c r="O81" s="8"/>
      <c r="P81" s="7"/>
    </row>
    <row r="82" customFormat="false" ht="1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8"/>
      <c r="K82" s="8"/>
      <c r="L82" s="8"/>
      <c r="M82" s="8"/>
      <c r="N82" s="8"/>
      <c r="O82" s="8"/>
      <c r="P82" s="7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8"/>
      <c r="K83" s="8"/>
      <c r="L83" s="8"/>
      <c r="M83" s="8"/>
      <c r="N83" s="8"/>
      <c r="O83" s="8"/>
      <c r="P83" s="7"/>
    </row>
    <row r="84" customFormat="false" ht="1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8"/>
      <c r="K84" s="8"/>
      <c r="L84" s="8"/>
      <c r="M84" s="8"/>
      <c r="N84" s="8"/>
      <c r="O84" s="8"/>
      <c r="P84" s="7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8"/>
      <c r="K85" s="8"/>
      <c r="L85" s="8"/>
      <c r="M85" s="8"/>
      <c r="N85" s="8"/>
      <c r="O85" s="8"/>
      <c r="P85" s="7"/>
    </row>
    <row r="86" customFormat="false" ht="1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8"/>
      <c r="K86" s="8"/>
      <c r="L86" s="8"/>
      <c r="M86" s="8"/>
      <c r="N86" s="8"/>
      <c r="O86" s="8"/>
      <c r="P86" s="7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8"/>
      <c r="K87" s="8"/>
      <c r="L87" s="8"/>
      <c r="M87" s="8"/>
      <c r="N87" s="8"/>
      <c r="O87" s="8"/>
      <c r="P87" s="7"/>
    </row>
    <row r="88" customFormat="false" ht="1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8"/>
      <c r="K88" s="8"/>
      <c r="L88" s="8"/>
      <c r="M88" s="8"/>
      <c r="N88" s="8"/>
      <c r="O88" s="8"/>
      <c r="P88" s="7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8"/>
      <c r="K89" s="8"/>
      <c r="L89" s="8"/>
      <c r="M89" s="8"/>
      <c r="N89" s="8"/>
      <c r="O89" s="8"/>
      <c r="P89" s="7"/>
    </row>
    <row r="90" customFormat="false" ht="1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8"/>
      <c r="K90" s="8"/>
      <c r="L90" s="8"/>
      <c r="M90" s="8"/>
      <c r="N90" s="8"/>
      <c r="O90" s="8"/>
      <c r="P90" s="7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8"/>
      <c r="K91" s="8"/>
      <c r="L91" s="8"/>
      <c r="M91" s="8"/>
      <c r="N91" s="8"/>
      <c r="O91" s="8"/>
      <c r="P91" s="7"/>
    </row>
    <row r="92" customFormat="false" ht="1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8"/>
      <c r="K92" s="8"/>
      <c r="L92" s="8"/>
      <c r="M92" s="8"/>
      <c r="N92" s="8"/>
      <c r="O92" s="8"/>
      <c r="P92" s="7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8"/>
      <c r="K93" s="8"/>
      <c r="L93" s="8"/>
      <c r="M93" s="8"/>
      <c r="N93" s="8"/>
      <c r="O93" s="8"/>
      <c r="P93" s="7"/>
    </row>
    <row r="94" customFormat="false" ht="1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8"/>
      <c r="K94" s="8"/>
      <c r="L94" s="8"/>
      <c r="M94" s="8"/>
      <c r="N94" s="8"/>
      <c r="O94" s="8"/>
      <c r="P94" s="7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8"/>
      <c r="K95" s="8"/>
      <c r="L95" s="8"/>
      <c r="M95" s="8"/>
      <c r="N95" s="8"/>
      <c r="O95" s="8"/>
      <c r="P95" s="7"/>
    </row>
    <row r="96" customFormat="false" ht="1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8"/>
      <c r="K96" s="8"/>
      <c r="L96" s="8"/>
      <c r="M96" s="8"/>
      <c r="N96" s="8"/>
      <c r="O96" s="8"/>
      <c r="P96" s="7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8"/>
      <c r="K97" s="8"/>
      <c r="L97" s="8"/>
      <c r="M97" s="8"/>
      <c r="N97" s="8"/>
      <c r="O97" s="8"/>
      <c r="P97" s="7"/>
    </row>
    <row r="98" customFormat="false" ht="1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8"/>
      <c r="K98" s="8"/>
      <c r="L98" s="8"/>
      <c r="M98" s="8"/>
      <c r="N98" s="8"/>
      <c r="O98" s="8"/>
      <c r="P98" s="7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8"/>
      <c r="K99" s="8"/>
      <c r="L99" s="8"/>
      <c r="M99" s="8"/>
      <c r="N99" s="8"/>
      <c r="O99" s="8"/>
      <c r="P99" s="7"/>
    </row>
    <row r="100" customFormat="false" ht="1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8"/>
      <c r="K100" s="8"/>
      <c r="L100" s="8"/>
      <c r="M100" s="8"/>
      <c r="N100" s="8"/>
      <c r="O100" s="8"/>
      <c r="P100" s="7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8"/>
      <c r="K101" s="8"/>
      <c r="L101" s="8"/>
      <c r="M101" s="8"/>
      <c r="N101" s="8"/>
      <c r="O101" s="8"/>
      <c r="P101" s="7"/>
    </row>
    <row r="102" customFormat="false" ht="1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8"/>
      <c r="K102" s="8"/>
      <c r="L102" s="8"/>
      <c r="M102" s="8"/>
      <c r="N102" s="8"/>
      <c r="O102" s="8"/>
      <c r="P102" s="7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8"/>
      <c r="K103" s="8"/>
      <c r="L103" s="8"/>
      <c r="M103" s="8"/>
      <c r="N103" s="8"/>
      <c r="O103" s="8"/>
      <c r="P103" s="7"/>
    </row>
    <row r="104" customFormat="false" ht="1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8"/>
      <c r="K104" s="8"/>
      <c r="L104" s="8"/>
      <c r="M104" s="8"/>
      <c r="N104" s="8"/>
      <c r="O104" s="8"/>
      <c r="P104" s="7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8"/>
      <c r="K105" s="8"/>
      <c r="L105" s="8"/>
      <c r="M105" s="8"/>
      <c r="N105" s="8"/>
      <c r="O105" s="8"/>
      <c r="P105" s="7"/>
    </row>
    <row r="106" customFormat="false" ht="1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8"/>
      <c r="K106" s="8"/>
      <c r="L106" s="8"/>
      <c r="M106" s="8"/>
      <c r="N106" s="8"/>
      <c r="O106" s="8"/>
      <c r="P106" s="7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8"/>
      <c r="K107" s="8"/>
      <c r="L107" s="8"/>
      <c r="M107" s="8"/>
      <c r="N107" s="8"/>
      <c r="O107" s="8"/>
      <c r="P107" s="7"/>
    </row>
    <row r="108" customFormat="false" ht="1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8"/>
      <c r="K108" s="8"/>
      <c r="L108" s="8"/>
      <c r="M108" s="8"/>
      <c r="N108" s="8"/>
      <c r="O108" s="8"/>
      <c r="P108" s="7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8"/>
      <c r="K109" s="8"/>
      <c r="L109" s="8"/>
      <c r="M109" s="8"/>
      <c r="N109" s="8"/>
      <c r="O109" s="8"/>
      <c r="P109" s="7"/>
    </row>
    <row r="110" customFormat="false" ht="1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8"/>
      <c r="K110" s="8"/>
      <c r="L110" s="8"/>
      <c r="M110" s="8"/>
      <c r="N110" s="8"/>
      <c r="O110" s="8"/>
      <c r="P110" s="7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8"/>
      <c r="K111" s="8"/>
      <c r="L111" s="8"/>
      <c r="M111" s="8"/>
      <c r="N111" s="8"/>
      <c r="O111" s="8"/>
      <c r="P111" s="7"/>
    </row>
    <row r="112" customFormat="false" ht="1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8"/>
      <c r="K112" s="8"/>
      <c r="L112" s="8"/>
      <c r="M112" s="8"/>
      <c r="N112" s="8"/>
      <c r="O112" s="8"/>
      <c r="P112" s="7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8"/>
      <c r="K113" s="8"/>
      <c r="L113" s="8"/>
      <c r="M113" s="8"/>
      <c r="N113" s="8"/>
      <c r="O113" s="8"/>
      <c r="P113" s="7"/>
    </row>
    <row r="114" customFormat="false" ht="1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8"/>
      <c r="K114" s="8"/>
      <c r="L114" s="8"/>
      <c r="M114" s="8"/>
      <c r="N114" s="8"/>
      <c r="O114" s="8"/>
      <c r="P114" s="7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8"/>
      <c r="K115" s="8"/>
      <c r="L115" s="8"/>
      <c r="M115" s="8"/>
      <c r="N115" s="8"/>
      <c r="O115" s="8"/>
      <c r="P115" s="7"/>
    </row>
    <row r="116" customFormat="false" ht="1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8"/>
      <c r="K116" s="8"/>
      <c r="L116" s="8"/>
      <c r="M116" s="8"/>
      <c r="N116" s="8"/>
      <c r="O116" s="8"/>
      <c r="P116" s="7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8"/>
      <c r="K117" s="8"/>
      <c r="L117" s="8"/>
      <c r="M117" s="8"/>
      <c r="N117" s="8"/>
      <c r="O117" s="8"/>
      <c r="P117" s="7"/>
    </row>
    <row r="118" customFormat="false" ht="1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8"/>
      <c r="K118" s="8"/>
      <c r="L118" s="8"/>
      <c r="M118" s="8"/>
      <c r="N118" s="8"/>
      <c r="O118" s="8"/>
      <c r="P118" s="7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8"/>
      <c r="K119" s="8"/>
      <c r="L119" s="8"/>
      <c r="M119" s="8"/>
      <c r="N119" s="8"/>
      <c r="O119" s="8"/>
      <c r="P119" s="7"/>
    </row>
    <row r="120" customFormat="false" ht="1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8"/>
      <c r="K120" s="8"/>
      <c r="L120" s="8"/>
      <c r="M120" s="8"/>
      <c r="N120" s="8"/>
      <c r="O120" s="8"/>
      <c r="P120" s="7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8"/>
      <c r="K121" s="8"/>
      <c r="L121" s="8"/>
      <c r="M121" s="8"/>
      <c r="N121" s="8"/>
      <c r="O121" s="8"/>
      <c r="P121" s="7"/>
    </row>
    <row r="122" customFormat="false" ht="1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8"/>
      <c r="K122" s="8"/>
      <c r="L122" s="8"/>
      <c r="M122" s="8"/>
      <c r="N122" s="8"/>
      <c r="O122" s="8"/>
      <c r="P122" s="7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8"/>
      <c r="K123" s="8"/>
      <c r="L123" s="8"/>
      <c r="M123" s="8"/>
      <c r="N123" s="8"/>
      <c r="O123" s="8"/>
      <c r="P123" s="7"/>
    </row>
    <row r="124" customFormat="false" ht="1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8"/>
      <c r="K124" s="8"/>
      <c r="L124" s="8"/>
      <c r="M124" s="8"/>
      <c r="N124" s="8"/>
      <c r="O124" s="8"/>
      <c r="P124" s="7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8"/>
      <c r="K125" s="8"/>
      <c r="L125" s="8"/>
      <c r="M125" s="8"/>
      <c r="N125" s="8"/>
      <c r="O125" s="8"/>
      <c r="P125" s="7"/>
    </row>
    <row r="126" customFormat="false" ht="1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8"/>
      <c r="K126" s="8"/>
      <c r="L126" s="8"/>
      <c r="M126" s="8"/>
      <c r="N126" s="8"/>
      <c r="O126" s="8"/>
      <c r="P126" s="7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8"/>
      <c r="K127" s="8"/>
      <c r="L127" s="8"/>
      <c r="M127" s="8"/>
      <c r="N127" s="8"/>
      <c r="O127" s="8"/>
      <c r="P127" s="7"/>
    </row>
    <row r="128" customFormat="false" ht="1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8"/>
      <c r="K128" s="8"/>
      <c r="L128" s="8"/>
      <c r="M128" s="8"/>
      <c r="N128" s="8"/>
      <c r="O128" s="8"/>
      <c r="P128" s="7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8"/>
      <c r="K129" s="8"/>
      <c r="L129" s="8"/>
      <c r="M129" s="8"/>
      <c r="N129" s="8"/>
      <c r="O129" s="8"/>
      <c r="P129" s="7"/>
    </row>
    <row r="130" customFormat="false" ht="1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8"/>
      <c r="K130" s="8"/>
      <c r="L130" s="8"/>
      <c r="M130" s="8"/>
      <c r="N130" s="8"/>
      <c r="O130" s="8"/>
      <c r="P130" s="7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8"/>
      <c r="K131" s="8"/>
      <c r="L131" s="8"/>
      <c r="M131" s="8"/>
      <c r="N131" s="8"/>
      <c r="O131" s="8"/>
      <c r="P131" s="7"/>
    </row>
    <row r="132" customFormat="false" ht="1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8"/>
      <c r="K132" s="8"/>
      <c r="L132" s="8"/>
      <c r="M132" s="8"/>
      <c r="N132" s="8"/>
      <c r="O132" s="8"/>
      <c r="P132" s="7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8"/>
      <c r="K133" s="8"/>
      <c r="L133" s="8"/>
      <c r="M133" s="8"/>
      <c r="N133" s="8"/>
      <c r="O133" s="8"/>
      <c r="P133" s="7"/>
    </row>
    <row r="134" customFormat="false" ht="1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8"/>
      <c r="K134" s="8"/>
      <c r="L134" s="8"/>
      <c r="M134" s="8"/>
      <c r="N134" s="8"/>
      <c r="O134" s="8"/>
      <c r="P134" s="7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8"/>
      <c r="K135" s="8"/>
      <c r="L135" s="8"/>
      <c r="M135" s="8"/>
      <c r="N135" s="8"/>
      <c r="O135" s="8"/>
      <c r="P135" s="7"/>
    </row>
    <row r="136" customFormat="false" ht="1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8"/>
      <c r="K136" s="8"/>
      <c r="L136" s="8"/>
      <c r="M136" s="8"/>
      <c r="N136" s="8"/>
      <c r="O136" s="8"/>
      <c r="P136" s="7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8"/>
      <c r="K137" s="8"/>
      <c r="L137" s="8"/>
      <c r="M137" s="8"/>
      <c r="N137" s="8"/>
      <c r="O137" s="8"/>
      <c r="P137" s="7"/>
    </row>
    <row r="138" customFormat="false" ht="1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8"/>
      <c r="K138" s="8"/>
      <c r="L138" s="8"/>
      <c r="M138" s="8"/>
      <c r="N138" s="8"/>
      <c r="O138" s="8"/>
      <c r="P138" s="7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8"/>
      <c r="K139" s="8"/>
      <c r="L139" s="8"/>
      <c r="M139" s="8"/>
      <c r="N139" s="8"/>
      <c r="O139" s="8"/>
      <c r="P139" s="7"/>
    </row>
    <row r="140" customFormat="false" ht="1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8"/>
      <c r="K140" s="8"/>
      <c r="L140" s="8"/>
      <c r="M140" s="8"/>
      <c r="N140" s="8"/>
      <c r="O140" s="8"/>
      <c r="P140" s="7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8"/>
      <c r="K141" s="8"/>
      <c r="L141" s="8"/>
      <c r="M141" s="8"/>
      <c r="N141" s="8"/>
      <c r="O141" s="8"/>
      <c r="P141" s="7"/>
    </row>
    <row r="142" customFormat="false" ht="1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8"/>
      <c r="K142" s="8"/>
      <c r="L142" s="8"/>
      <c r="M142" s="8"/>
      <c r="N142" s="8"/>
      <c r="O142" s="8"/>
      <c r="P142" s="7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8"/>
      <c r="K143" s="8"/>
      <c r="L143" s="8"/>
      <c r="M143" s="8"/>
      <c r="N143" s="8"/>
      <c r="O143" s="8"/>
      <c r="P143" s="7"/>
    </row>
    <row r="144" customFormat="false" ht="1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8"/>
      <c r="K144" s="8"/>
      <c r="L144" s="8"/>
      <c r="M144" s="8"/>
      <c r="N144" s="8"/>
      <c r="O144" s="8"/>
      <c r="P144" s="7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8"/>
      <c r="K145" s="8"/>
      <c r="L145" s="8"/>
      <c r="M145" s="8"/>
      <c r="N145" s="8"/>
      <c r="O145" s="8"/>
      <c r="P145" s="7"/>
    </row>
    <row r="146" customFormat="false" ht="1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8"/>
      <c r="K146" s="8"/>
      <c r="L146" s="8"/>
      <c r="M146" s="8"/>
      <c r="N146" s="8"/>
      <c r="O146" s="8"/>
      <c r="P146" s="7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8"/>
      <c r="K147" s="8"/>
      <c r="L147" s="8"/>
      <c r="M147" s="8"/>
      <c r="N147" s="8"/>
      <c r="O147" s="8"/>
      <c r="P147" s="7"/>
    </row>
    <row r="148" customFormat="false" ht="1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8"/>
      <c r="K148" s="8"/>
      <c r="L148" s="8"/>
      <c r="M148" s="8"/>
      <c r="N148" s="8"/>
      <c r="O148" s="8"/>
      <c r="P148" s="7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8"/>
      <c r="K149" s="8"/>
      <c r="L149" s="8"/>
      <c r="M149" s="8"/>
      <c r="N149" s="8"/>
      <c r="O149" s="8"/>
      <c r="P149" s="7"/>
    </row>
    <row r="150" customFormat="false" ht="1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8"/>
      <c r="K150" s="8"/>
      <c r="L150" s="8"/>
      <c r="M150" s="8"/>
      <c r="N150" s="8"/>
      <c r="O150" s="8"/>
      <c r="P150" s="7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8"/>
      <c r="K151" s="8"/>
      <c r="L151" s="8"/>
      <c r="M151" s="8"/>
      <c r="N151" s="8"/>
      <c r="O151" s="8"/>
      <c r="P151" s="7"/>
    </row>
    <row r="152" customFormat="false" ht="1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8"/>
      <c r="K152" s="8"/>
      <c r="L152" s="8"/>
      <c r="M152" s="8"/>
      <c r="N152" s="8"/>
      <c r="O152" s="8"/>
      <c r="P15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6"/>
  </cols>
  <sheetData>
    <row r="1" customFormat="false" ht="15.75" hidden="false" customHeight="true" outlineLevel="0" collapsed="false">
      <c r="A1" s="2" t="s">
        <v>38</v>
      </c>
    </row>
    <row r="3" customFormat="false" ht="15" hidden="false" customHeight="true" outlineLevel="0" collapsed="false">
      <c r="A3" s="9" t="s">
        <v>39</v>
      </c>
      <c r="B3" s="9" t="s">
        <v>40</v>
      </c>
      <c r="C3" s="9" t="s">
        <v>41</v>
      </c>
    </row>
    <row r="4" customFormat="false" ht="15" hidden="false" customHeight="true" outlineLevel="0" collapsed="false">
      <c r="A4" s="7" t="s">
        <v>42</v>
      </c>
      <c r="B4" s="7" t="str">
        <f aca="false">IFERROR(AVERAGE(Data_Log!J3:J152),"No data yet")</f>
        <v>No data yet</v>
      </c>
      <c r="C4" s="7" t="str">
        <f aca="false">IFERROR(AVERAGE(Data_Log!L3:L152),"No data yet")</f>
        <v>No data yet</v>
      </c>
    </row>
    <row r="5" customFormat="false" ht="15" hidden="false" customHeight="true" outlineLevel="0" collapsed="false">
      <c r="A5" s="7" t="s">
        <v>43</v>
      </c>
      <c r="B5" s="7" t="str">
        <f aca="false">IFERROR(AVERAGE(Data_Log!K3:K152),"No data yet")</f>
        <v>No data yet</v>
      </c>
      <c r="C5" s="7" t="str">
        <f aca="false">IFERROR(AVERAGE(Data_Log!M3:M152),"No data yet")</f>
        <v>No data yet</v>
      </c>
    </row>
    <row r="6" customFormat="false" ht="15" hidden="false" customHeight="true" outlineLevel="0" collapsed="false">
      <c r="A6" s="7" t="s">
        <v>44</v>
      </c>
      <c r="B6" s="7" t="str">
        <f aca="false">IFERROR(AVERAGE(Data_Log!N3:N152),"No data yet")</f>
        <v>No data yet</v>
      </c>
      <c r="C6" s="7" t="str">
        <f aca="false">IFERROR(AVERAGE(Data_Log!O3:O152),"No data yet")</f>
        <v>No data yet</v>
      </c>
    </row>
    <row r="7" customFormat="false" ht="15" hidden="false" customHeight="true" outlineLevel="0" collapsed="false">
      <c r="A7" s="7" t="s">
        <v>45</v>
      </c>
      <c r="B7" s="7" t="n">
        <f aca="false">IFERROR(COUNT(Data_Log!J3:J152),"No data yet")</f>
        <v>0</v>
      </c>
      <c r="C7" s="7" t="n">
        <f aca="false">IFERROR(COUNT(Data_Log!L3:L152),"No data yet")</f>
        <v>0</v>
      </c>
    </row>
    <row r="10" customFormat="false" ht="15" hidden="false" customHeight="true" outlineLevel="0" collapsed="false">
      <c r="A10" s="10" t="s">
        <v>46</v>
      </c>
    </row>
    <row r="11" customFormat="false" ht="15" hidden="false" customHeight="true" outlineLevel="0" collapsed="false">
      <c r="A11" s="9" t="s">
        <v>47</v>
      </c>
      <c r="B11" s="9" t="s">
        <v>48</v>
      </c>
      <c r="C11" s="9" t="s">
        <v>49</v>
      </c>
    </row>
    <row r="12" customFormat="false" ht="15" hidden="false" customHeight="true" outlineLevel="0" collapsed="false">
      <c r="A12" s="7" t="s">
        <v>29</v>
      </c>
      <c r="B12" s="7" t="str">
        <f aca="false">IFERROR(AVERAGEIF(Data_Log!B3:B152,"Receipt",Data_Log!J3:J152),"No data yet")</f>
        <v>No data yet</v>
      </c>
      <c r="C12" s="7" t="str">
        <f aca="false">IFERROR(AVERAGEIF(Data_Log!B3:B152,"Receipt",Data_Log!L3:L152),"No data yet")</f>
        <v>No data yet</v>
      </c>
    </row>
    <row r="13" customFormat="false" ht="15" hidden="false" customHeight="true" outlineLevel="0" collapsed="false">
      <c r="A13" s="7" t="s">
        <v>50</v>
      </c>
      <c r="B13" s="7" t="str">
        <f aca="false">IFERROR(AVERAGEIF(Data_Log!B3:B152,"Label",Data_Log!J3:J152),"No data yet")</f>
        <v>No data yet</v>
      </c>
      <c r="C13" s="7" t="str">
        <f aca="false">IFERROR(AVERAGEIF(Data_Log!B3:B152,"Label",Data_Log!L3:L152),"No data yet")</f>
        <v>No data yet</v>
      </c>
    </row>
    <row r="16" customFormat="false" ht="15" hidden="false" customHeight="true" outlineLevel="0" collapsed="false">
      <c r="A16" s="10" t="s">
        <v>51</v>
      </c>
    </row>
    <row r="17" customFormat="false" ht="15" hidden="false" customHeight="true" outlineLevel="0" collapsed="false">
      <c r="A17" s="9" t="s">
        <v>52</v>
      </c>
      <c r="B17" s="9" t="s">
        <v>48</v>
      </c>
      <c r="C17" s="9" t="s">
        <v>49</v>
      </c>
    </row>
    <row r="18" customFormat="false" ht="15" hidden="false" customHeight="true" outlineLevel="0" collapsed="false">
      <c r="A18" s="7" t="s">
        <v>53</v>
      </c>
      <c r="B18" s="7" t="str">
        <f aca="false">IFERROR(AVERAGEIF(Data_Log!E3:E152,"Natural",Data_Log!J3:J152),"No data yet")</f>
        <v>No data yet</v>
      </c>
      <c r="C18" s="7" t="str">
        <f aca="false">IFERROR(AVERAGEIF(Data_Log!E3:E152,"Natural",Data_Log!L3:L152),"No data yet")</f>
        <v>No data yet</v>
      </c>
    </row>
    <row r="19" customFormat="false" ht="15" hidden="false" customHeight="true" outlineLevel="0" collapsed="false">
      <c r="A19" s="7" t="s">
        <v>32</v>
      </c>
      <c r="B19" s="7" t="str">
        <f aca="false">IFERROR(AVERAGEIF(Data_Log!E3:E152,"LED",Data_Log!J3:J152),"No data yet")</f>
        <v>No data yet</v>
      </c>
      <c r="C19" s="7" t="str">
        <f aca="false">IFERROR(AVERAGEIF(Data_Log!E3:E152,"LED",Data_Log!L3:L152),"No data yet")</f>
        <v>No data yet</v>
      </c>
    </row>
    <row r="20" customFormat="false" ht="15" hidden="false" customHeight="true" outlineLevel="0" collapsed="false">
      <c r="A20" s="7" t="s">
        <v>54</v>
      </c>
      <c r="B20" s="7" t="str">
        <f aca="false">IFERROR(AVERAGEIF(Data_Log!E3:E152,"Low",Data_Log!J3:J152),"No data yet")</f>
        <v>No data yet</v>
      </c>
      <c r="C20" s="7" t="str">
        <f aca="false">IFERROR(AVERAGEIF(Data_Log!E3:E152,"Low",Data_Log!L3:L152),"No data yet")</f>
        <v>No data yet</v>
      </c>
    </row>
    <row r="23" customFormat="false" ht="15" hidden="false" customHeight="true" outlineLevel="0" collapsed="false">
      <c r="A23" s="11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2026-07-26T15:49:15Z</dcterms:created>
  <dc:creator>openpyxl</dc:creator>
  <dc:description/>
  <dc:language>en-US</dc:language>
  <cp:lastModifiedBy/>
  <dcterms:modified xsi:type="dcterms:W3CDTF">2026-07-26T15:49:27Z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